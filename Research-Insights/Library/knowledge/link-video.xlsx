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acbook/Codex GPT/travelframe.vn/Research-Insights/Library/knowledge/"/>
    </mc:Choice>
  </mc:AlternateContent>
  <xr:revisionPtr revIDLastSave="0" documentId="8_{C38CBA15-7F45-9343-967B-0E9490CFEFA0}" xr6:coauthVersionLast="47" xr6:coauthVersionMax="47" xr10:uidLastSave="{00000000-0000-0000-0000-000000000000}"/>
  <bookViews>
    <workbookView xWindow="1280" yWindow="660" windowWidth="28960" windowHeight="18980" activeTab="3" xr2:uid="{00000000-000D-0000-FFFF-FFFF00000000}"/>
  </bookViews>
  <sheets>
    <sheet name="Overview" sheetId="1" r:id="rId1"/>
    <sheet name="Social Outliers" sheetId="2" r:id="rId2"/>
    <sheet name="Search Topics" sheetId="3" r:id="rId3"/>
    <sheet name="Local Files"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 l="1"/>
  <c r="B9" i="1"/>
  <c r="B8" i="1"/>
  <c r="B7" i="1"/>
</calcChain>
</file>

<file path=xl/sharedStrings.xml><?xml version="1.0" encoding="utf-8"?>
<sst xmlns="http://schemas.openxmlformats.org/spreadsheetml/2006/main" count="173" uniqueCount="111">
  <si>
    <t>Bảng nghiên cứu về sang đường ở Việt Nam</t>
  </si>
  <si>
    <t>Trường</t>
  </si>
  <si>
    <t>Giá trị</t>
  </si>
  <si>
    <t>Chủ đề</t>
  </si>
  <si>
    <t>Cách sang đường ở Việt Nam và cẩm nang sinh tồn cho du khách</t>
  </si>
  <si>
    <t>File nguồn</t>
  </si>
  <si>
    <t>/Users/macbook/.codex/attachments/4ffbf790-4ab7-4777-ac1c-6c6b1cfd3158/Pasted text.txt</t>
  </si>
  <si>
    <t>Ngày tạo</t>
  </si>
  <si>
    <t>2026-09-18</t>
  </si>
  <si>
    <t>Số nguồn social</t>
  </si>
  <si>
    <t>Số nguồn TikTok</t>
  </si>
  <si>
    <t>Số nguồn Instagram Reels</t>
  </si>
  <si>
    <t>Số chủ đề tìm kiếm</t>
  </si>
  <si>
    <t>Ghi chú</t>
  </si>
  <si>
    <t>Số liệu được sao chép từ file văn bản do người dùng cung cấp. Chưa thực hiện xác minh độc lập.</t>
  </si>
  <si>
    <t>Các dòng TikTok có lượt xem và lượt thích. Các dòng Instagram Reels chỉ có lượt thích và bình luận vì nguồn không cung cấp lượt xem.</t>
  </si>
  <si>
    <t>Các đường link là nguồn tham khảo nghiên cứu, không phải bằng chứng về quan hệ nhân quả của hiệu suất. Nguồn không có baseline theo từng creator hoặc khoảng thời gian thu thập.</t>
  </si>
  <si>
    <t>Dùng sheet Social Outliers để phân tích hook và sheet Search Topics để mở rộng nghiên cứu.</t>
  </si>
  <si>
    <t>Nền tảng</t>
  </si>
  <si>
    <t>STT</t>
  </si>
  <si>
    <t>Kênh / Creator / Mã</t>
  </si>
  <si>
    <t>URL</t>
  </si>
  <si>
    <t>Lượt xem</t>
  </si>
  <si>
    <t>Lượt thích</t>
  </si>
  <si>
    <t>Bình luận</t>
  </si>
  <si>
    <t>Chỉ số chính</t>
  </si>
  <si>
    <t>Hook / góc tiếp cận</t>
  </si>
  <si>
    <t>TikTok</t>
  </si>
  <si>
    <t>@nyeatsbrown</t>
  </si>
  <si>
    <t>https://www.tiktok.com/@nyeatsbrown/video/7427367041293634848</t>
  </si>
  <si>
    <t>Nếu không thể thắng họ, hãy hòa vào dòng xe - POV hòa mình vào biển xe máy, hài hước</t>
  </si>
  <si>
    <t>Video nổi bật</t>
  </si>
  <si>
    <t>@joelfriendy</t>
  </si>
  <si>
    <t>https://www.tiktok.com/@joelfriendy/video/7206729649395649798</t>
  </si>
  <si>
    <t>LƯU LẠI vào danh sách phải làm! Đây là một hoạt động vui! - Biến sang đường thành trải nghiệm bucket list</t>
  </si>
  <si>
    <t>@danaa_wanders</t>
  </si>
  <si>
    <t>https://www.tiktok.com/@danaa_wanders/video/7571801854204529953</t>
  </si>
  <si>
    <t>Dám sang đường ở Việt Nam không? Thử thách giao thông đỉnh cao! - Hướng dẫn kỹ thuật bước đều</t>
  </si>
  <si>
    <t>@haz_and_loz</t>
  </si>
  <si>
    <t>https://www.tiktok.com/@haz_and_loz/video/7582429718104804664</t>
  </si>
  <si>
    <t>Sang đường ở Việt Nam là một kỹ năng nghiêm túc - Trải nghiệm sốc văn hóa của cặp đôi</t>
  </si>
  <si>
    <t>@felipe.caiced0</t>
  </si>
  <si>
    <t>https://www.tiktok.com/@felipe.caiced0/video/7590894298166594846</t>
  </si>
  <si>
    <t>Cứ đi thẳng và hy vọng không ai tông mình - Cảm xúc vượt qua nỗi sợ</t>
  </si>
  <si>
    <t>@polina_nesterova_ua</t>
  </si>
  <si>
    <t>https://www.tiktok.com/@polina_nesterova_ua/video/7604558545325018389</t>
  </si>
  <si>
    <t>Tôi đã nhờ một người đàn ông Việt Nam giúp... - Nhờ người bản địa dẫn qua đường</t>
  </si>
  <si>
    <t>@luvtongue</t>
  </si>
  <si>
    <t>https://www.tiktok.com/@luvtongue/video/7632920186328206612</t>
  </si>
  <si>
    <t>Liều mạng sang đường - Trải nghiệm của du khách Nhật Bản</t>
  </si>
  <si>
    <t>@chubbytrekka</t>
  </si>
  <si>
    <t>https://www.tiktok.com/@chubbytrekka/video/7579644819891408150</t>
  </si>
  <si>
    <t>Sang đường ở Việt Nam thật điên rồ - Góc nhìn du khách bụi</t>
  </si>
  <si>
    <t>@jessicajayneturner</t>
  </si>
  <si>
    <t>https://www.tiktok.com/@jessicajayneturner/video/7443844924044283169</t>
  </si>
  <si>
    <t>Vạch sang đường gần như không có tác dụng - Cú sốc về vạch kẻ đường</t>
  </si>
  <si>
    <t>@sofiatouchromagnoli</t>
  </si>
  <si>
    <t>https://www.tiktok.com/@sofiatouchromagnoli/video/7621752140398136597</t>
  </si>
  <si>
    <t>Giờ tôi đã thành cao thủ sang đường - Hành trình thuần thục kỹ năng</t>
  </si>
  <si>
    <t>@youngmaster969</t>
  </si>
  <si>
    <t>https://www.tiktok.com/@youngmaster969/video/7655486078417210642</t>
  </si>
  <si>
    <t>Một người đàn ông chia sẻ trải nghiệm sang đường... - Chia sẻ trải nghiệm thực tế</t>
  </si>
  <si>
    <t>@xotoursvietnam</t>
  </si>
  <si>
    <t>https://www.tiktok.com/@xotoursvietnam/video/7459288014280314119</t>
  </si>
  <si>
    <t>Sang đường ở Việt Nam là một nhiệm vụ đáng sợ! Nhưng có kỹ thuật cả đấy - Tour guide hướng dẫn</t>
  </si>
  <si>
    <t>Instagram Reels</t>
  </si>
  <si>
    <t>DFwJHqdSrpb</t>
  </si>
  <si>
    <t>https://www.instagram.com/reel/DFwJHqdSrpb/</t>
  </si>
  <si>
    <t>Vạch kẻ đường ở Việt Nam - Clip châm biếm vạch kẻ đường cho người đi bộ</t>
  </si>
  <si>
    <t>Reel nổi bật</t>
  </si>
  <si>
    <t>DaBYGnax_Ah</t>
  </si>
  <si>
    <t>https://www.instagram.com/reel/DaBYGnax_Ah/</t>
  </si>
  <si>
    <t>Một trong những cú sốc văn hóa lớn nhất ở Việt Nam là sang đường... - Giải thích trật tự trong hỗn loạn</t>
  </si>
  <si>
    <t>DQ7h_41k57o</t>
  </si>
  <si>
    <t>https://www.instagram.com/reel/DQ7h_41k57o/</t>
  </si>
  <si>
    <t>Cuối cùng tôi cũng sang đường được, hai năm trước tôi còn rất sợ - Câu chuyện vượt qua nỗi sợ của expat</t>
  </si>
  <si>
    <t>DRziFZDkk14</t>
  </si>
  <si>
    <t>https://www.instagram.com/reel/DRziFZDkk14/</t>
  </si>
  <si>
    <t>Bạn có dám sang đường ở Việt Nam không? - Câu hỏi tương tác</t>
  </si>
  <si>
    <t>C1skXpVPkgQ</t>
  </si>
  <si>
    <t>https://www.instagram.com/reel/C1skXpVPkgQ/</t>
  </si>
  <si>
    <t>Nếu bạn lo lắng khi sang đường, Phúc Map sẽ giúp bạn</t>
  </si>
  <si>
    <t>DXWxGwdEUOJ</t>
  </si>
  <si>
    <t>https://www.instagram.com/reel/DXWxGwdEUOJ/</t>
  </si>
  <si>
    <t>Bạn sang đường hay gọi taxi để đưa mình sang bên kia? lol</t>
  </si>
  <si>
    <t>DZ4VENyxsUA</t>
  </si>
  <si>
    <t>https://www.instagram.com/reel/DZ4VENyxsUA/</t>
  </si>
  <si>
    <t>Sang đường ở Việt Nam có thể là một cú sốc văn hóa thật sự với du khách lần đầu</t>
  </si>
  <si>
    <t>DY7AatUOlc2</t>
  </si>
  <si>
    <t>https://www.instagram.com/reel/DY7AatUOlc2/</t>
  </si>
  <si>
    <t>Mẹo hữu ích để sang đường ở Việt Nam - khi đi cùng bố mẹ</t>
  </si>
  <si>
    <t>Từ khóa gốc và bản dịch</t>
  </si>
  <si>
    <t>RedNote</t>
  </si>
  <si>
    <t>越南过马路 (Sang đường ở Việt Nam)</t>
  </si>
  <si>
    <t>https://www.xiaohongshu.com/search_result?keyword=%E8%B6%8A%E5%8D%97%E8%BF%87%E9%A9%AC%E8%B7%AF</t>
  </si>
  <si>
    <t>Tập trung quy tắc Hòn đá giữa dòng nước và mẹo bám sát người bán hàng rong bản địa.</t>
  </si>
  <si>
    <t>越南生存指南 (Cẩm nang sinh tồn ở Việt Nam)</t>
  </si>
  <si>
    <t>https://www.xiaohongshu.com/search_result?keyword=%E8%B6%8A%E5%8D%97%E7%94%9F%E5%AD%98%E6%8C%87%E5%8D%97</t>
  </si>
  <si>
    <t>Cẩm nang tránh taxi dù, công thức đếm số 0 tiền VND và an toàn điện thoại.</t>
  </si>
  <si>
    <t>Douyin</t>
  </si>
  <si>
    <t>https://www.douyin.com/search/%E8%B6%8A%E5%8D%97%E8%BF%87%E9%A9%AC%E8%B7%AF</t>
  </si>
  <si>
    <t>POV góc nhìn thứ nhất, thử thách Độ kiếp và Before vs After 1 tháng.</t>
  </si>
  <si>
    <t>Loại tài liệu</t>
  </si>
  <si>
    <t>Đường dẫn local</t>
  </si>
  <si>
    <t>Nội dung</t>
  </si>
  <si>
    <t>Phân tích</t>
  </si>
  <si>
    <t>/Users/macbook/Codex GPT/travelframe.vn/Research-Insights/Library/analysis/2026-09-18-vietnam-street-crossing-survival-research.md</t>
  </si>
  <si>
    <t>Báo cáo phân tích chuyên sâu và kịch bản nội dung.</t>
  </si>
  <si>
    <t>Dataset JSON</t>
  </si>
  <si>
    <t>/Users/macbook/Codex GPT/travelframe.vn/Research-Insights/Library/knowledge/2026-09-18-vietnam-street-crossing-scraped-data.json</t>
  </si>
  <si>
    <t>Dataset metrics, hooks và metadata.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</si>
</sst>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Aptos"/>
    </font>
    <font>
      <sz val="11"/>
      <name val="Aptos"/>
    </font>
    <font>
      <b/>
      <sz val="11"/>
      <color rgb="FFFFFFFF"/>
      <name val="Aptos"/>
    </font>
    <font>
      <sz val="11"/>
      <color rgb="FF263238"/>
      <name val="Aptos"/>
    </font>
    <font>
      <b/>
      <sz val="11"/>
      <color rgb="FF153B50"/>
      <name val="Aptos"/>
    </font>
  </fonts>
  <fills count="5">
    <fill>
      <patternFill patternType="none"/>
    </fill>
    <fill>
      <patternFill patternType="gray125"/>
    </fill>
    <fill>
      <patternFill patternType="solid">
        <fgColor rgb="FF008AA3"/>
      </patternFill>
    </fill>
    <fill>
      <patternFill patternType="solid">
        <fgColor rgb="FF153B50"/>
      </patternFill>
    </fill>
    <fill>
      <patternFill patternType="solid">
        <fgColor rgb="FFEAF4F6"/>
      </patternFill>
    </fill>
  </fills>
  <borders count="2">
    <border>
      <left/>
      <right/>
      <top/>
      <bottom/>
      <diagonal/>
    </border>
    <border>
      <left style="thin">
        <color rgb="FFD8E3E6"/>
      </left>
      <right style="thin">
        <color rgb="FFD8E3E6"/>
      </right>
      <top style="thin">
        <color rgb="FFD8E3E6"/>
      </top>
      <bottom style="thin">
        <color rgb="FFD8E3E6"/>
      </bottom>
      <diagonal/>
    </border>
  </borders>
  <cellStyleXfs count="1">
    <xf numFmtId="0" fontId="0" fillId="0" borderId="0"/>
  </cellStyleXfs>
  <cellXfs count="9">
    <xf numFmtId="0" fontId="0" fillId="0" borderId="0" xfId="0"/>
    <xf numFmtId="0" fontId="2" fillId="0" borderId="0" xfId="0" applyFont="1"/>
    <xf numFmtId="0" fontId="3" fillId="3" borderId="1" xfId="0" applyFont="1" applyFill="1" applyBorder="1" applyAlignment="1">
      <alignment vertical="center" wrapText="1"/>
    </xf>
    <xf numFmtId="0" fontId="4" fillId="0" borderId="1" xfId="0" applyFont="1" applyBorder="1" applyAlignment="1">
      <alignment vertical="top" wrapText="1"/>
    </xf>
    <xf numFmtId="164" fontId="4" fillId="0" borderId="1" xfId="0" applyNumberFormat="1" applyFont="1" applyBorder="1" applyAlignment="1">
      <alignment vertical="top" wrapText="1"/>
    </xf>
    <xf numFmtId="3" fontId="4" fillId="0" borderId="1" xfId="0" applyNumberFormat="1" applyFont="1" applyBorder="1" applyAlignment="1">
      <alignment vertical="top" wrapText="1"/>
    </xf>
    <xf numFmtId="0" fontId="1" fillId="2" borderId="0" xfId="0" applyFont="1" applyFill="1" applyAlignment="1">
      <alignment vertical="center"/>
    </xf>
    <xf numFmtId="0" fontId="5" fillId="4" borderId="0" xfId="0" applyFont="1" applyFill="1"/>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cialOutliersTable" displayName="SocialOutliersTable" ref="A1:J21" totalsRowShown="0">
  <tableColumns count="10">
    <tableColumn id="1" xr3:uid="{00000000-0010-0000-0000-000001000000}" name="Nền tảng"/>
    <tableColumn id="2" xr3:uid="{00000000-0010-0000-0000-000002000000}" name="STT"/>
    <tableColumn id="3" xr3:uid="{00000000-0010-0000-0000-000003000000}" name="Kênh / Creator / Mã"/>
    <tableColumn id="4" xr3:uid="{00000000-0010-0000-0000-000004000000}" name="URL"/>
    <tableColumn id="5" xr3:uid="{00000000-0010-0000-0000-000005000000}" name="Views"/>
    <tableColumn id="6" xr3:uid="{00000000-0010-0000-0000-000006000000}" name="Likes"/>
    <tableColumn id="7" xr3:uid="{00000000-0010-0000-0000-000007000000}" name="Comments"/>
    <tableColumn id="8" xr3:uid="{00000000-0010-0000-0000-000008000000}" name="Primary metric"/>
    <tableColumn id="9" xr3:uid="{00000000-0010-0000-0000-000009000000}" name="Hook / angle"/>
    <tableColumn id="10" xr3:uid="{00000000-0010-0000-0000-00000A000000}" name="Ghi chú"/>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archTopicsTable" displayName="SearchTopicsTable" ref="A1:D4" totalsRowShown="0">
  <tableColumns count="4">
    <tableColumn id="1" xr3:uid="{00000000-0010-0000-0100-000001000000}" name="Nền tảng"/>
    <tableColumn id="2" xr3:uid="{00000000-0010-0000-0100-000002000000}" name="Chủ đề / Keyword"/>
    <tableColumn id="3" xr3:uid="{00000000-0010-0000-0100-000003000000}" name="URL"/>
    <tableColumn id="4" xr3:uid="{00000000-0010-0000-0100-000004000000}" name="Ghi chú"/>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ocalFilesTable" displayName="LocalFilesTable" ref="A1:C3" totalsRowShown="0">
  <tableColumns count="3">
    <tableColumn id="1" xr3:uid="{00000000-0010-0000-0200-000001000000}" name="Loại tài liệu"/>
    <tableColumn id="2" xr3:uid="{00000000-0010-0000-0200-000002000000}" name="Đường dẫn local"/>
    <tableColumn id="3" xr3:uid="{00000000-0010-0000-0200-000003000000}" name="Nội dung"/>
  </tableColumns>
  <tableStyleInfo name="TableStyleMedium6"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AA3"/>
  </sheetPr>
  <dimension ref="A1:F16"/>
  <sheetViews>
    <sheetView showGridLines="0" workbookViewId="0">
      <selection activeCell="B2" sqref="B2"/>
    </sheetView>
  </sheetViews>
  <sheetFormatPr baseColWidth="10" defaultColWidth="8.83203125" defaultRowHeight="14"/>
  <cols>
    <col min="1" max="1" width="45.83203125" customWidth="1"/>
    <col min="2" max="2" width="45" customWidth="1"/>
  </cols>
  <sheetData>
    <row r="1" spans="1:6" ht="30" customHeight="1">
      <c r="A1" s="6" t="s">
        <v>0</v>
      </c>
      <c r="B1" s="6"/>
      <c r="C1" s="6"/>
      <c r="D1" s="6"/>
      <c r="E1" s="6"/>
      <c r="F1" s="6"/>
    </row>
    <row r="2" spans="1:6" ht="15">
      <c r="A2" s="1"/>
      <c r="B2" s="1"/>
      <c r="C2" s="1"/>
      <c r="D2" s="1"/>
      <c r="E2" s="1"/>
      <c r="F2" s="1"/>
    </row>
    <row r="3" spans="1:6" ht="32" customHeight="1">
      <c r="A3" s="2" t="s">
        <v>1</v>
      </c>
      <c r="B3" s="2" t="s">
        <v>2</v>
      </c>
      <c r="C3" s="1"/>
      <c r="D3" s="1"/>
      <c r="E3" s="1"/>
      <c r="F3" s="1"/>
    </row>
    <row r="4" spans="1:6" ht="128">
      <c r="A4" s="3" t="s">
        <v>3</v>
      </c>
      <c r="B4" s="3" t="s">
        <v>4</v>
      </c>
      <c r="C4" s="1"/>
      <c r="D4" s="1"/>
      <c r="E4" s="1"/>
      <c r="F4" s="1"/>
    </row>
    <row r="5" spans="1:6" ht="192">
      <c r="A5" s="3" t="s">
        <v>5</v>
      </c>
      <c r="B5" s="3" t="s">
        <v>6</v>
      </c>
      <c r="C5" s="1"/>
      <c r="D5" s="1"/>
      <c r="E5" s="1"/>
      <c r="F5" s="1"/>
    </row>
    <row r="6" spans="1:6" ht="32">
      <c r="A6" s="3" t="s">
        <v>7</v>
      </c>
      <c r="B6" s="4" t="s">
        <v>8</v>
      </c>
      <c r="C6" s="1"/>
      <c r="D6" s="1"/>
      <c r="E6" s="1"/>
      <c r="F6" s="1"/>
    </row>
    <row r="7" spans="1:6" ht="32">
      <c r="A7" s="3" t="s">
        <v>9</v>
      </c>
      <c r="B7" s="3">
        <f>COUNTA('Social Outliers'!$A$2:$A$21)</f>
        <v>20</v>
      </c>
      <c r="C7" s="1"/>
      <c r="D7" s="1"/>
      <c r="E7" s="1"/>
      <c r="F7" s="1"/>
    </row>
    <row r="8" spans="1:6" ht="32">
      <c r="A8" s="3" t="s">
        <v>10</v>
      </c>
      <c r="B8" s="3">
        <f>COUNTIFS('Social Outliers'!$A$2:$A$21,"TikTok")</f>
        <v>12</v>
      </c>
      <c r="C8" s="1"/>
      <c r="D8" s="1"/>
      <c r="E8" s="1"/>
      <c r="F8" s="1"/>
    </row>
    <row r="9" spans="1:6" ht="48">
      <c r="A9" s="3" t="s">
        <v>11</v>
      </c>
      <c r="B9" s="3">
        <f>COUNTIFS('Social Outliers'!$A$2:$A$21,"Instagram Reels")</f>
        <v>8</v>
      </c>
      <c r="C9" s="1"/>
      <c r="D9" s="1"/>
      <c r="E9" s="1"/>
      <c r="F9" s="1"/>
    </row>
    <row r="10" spans="1:6" ht="32">
      <c r="A10" s="3" t="s">
        <v>12</v>
      </c>
      <c r="B10" s="3">
        <f>COUNTA('Search Topics'!$A$2:$A$4)</f>
        <v>3</v>
      </c>
      <c r="C10" s="1"/>
      <c r="D10" s="1"/>
      <c r="E10" s="1"/>
      <c r="F10" s="1"/>
    </row>
    <row r="11" spans="1:6" ht="15">
      <c r="A11" s="1"/>
      <c r="B11" s="1"/>
      <c r="C11" s="1"/>
      <c r="D11" s="1"/>
      <c r="E11" s="1"/>
      <c r="F11" s="1"/>
    </row>
    <row r="12" spans="1:6" ht="15">
      <c r="A12" s="7" t="s">
        <v>13</v>
      </c>
      <c r="B12" s="7"/>
      <c r="C12" s="7"/>
      <c r="D12" s="7"/>
      <c r="E12" s="7"/>
      <c r="F12" s="7"/>
    </row>
    <row r="13" spans="1:6" ht="15">
      <c r="A13" s="8" t="s">
        <v>14</v>
      </c>
      <c r="B13" s="8"/>
      <c r="C13" s="8"/>
      <c r="D13" s="8"/>
      <c r="E13" s="8"/>
      <c r="F13" s="8"/>
    </row>
    <row r="14" spans="1:6" ht="15">
      <c r="A14" s="8" t="s">
        <v>15</v>
      </c>
      <c r="B14" s="8"/>
      <c r="C14" s="8"/>
      <c r="D14" s="8"/>
      <c r="E14" s="8"/>
      <c r="F14" s="8"/>
    </row>
    <row r="15" spans="1:6" ht="15">
      <c r="A15" s="8" t="s">
        <v>16</v>
      </c>
      <c r="B15" s="8"/>
      <c r="C15" s="8"/>
      <c r="D15" s="8"/>
      <c r="E15" s="8"/>
      <c r="F15" s="8"/>
    </row>
    <row r="16" spans="1:6" ht="15">
      <c r="A16" s="8" t="s">
        <v>17</v>
      </c>
      <c r="B16" s="8"/>
      <c r="C16" s="8"/>
      <c r="D16" s="8"/>
      <c r="E16" s="8"/>
      <c r="F16" s="8"/>
    </row>
  </sheetData>
  <mergeCells count="6">
    <mergeCell ref="A16:F16"/>
    <mergeCell ref="A1:F1"/>
    <mergeCell ref="A12:F12"/>
    <mergeCell ref="A13:F13"/>
    <mergeCell ref="A14:F14"/>
    <mergeCell ref="A15:F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07A5F"/>
  </sheetPr>
  <dimension ref="A1:J21"/>
  <sheetViews>
    <sheetView showGridLines="0" workbookViewId="0">
      <pane ySplit="1" topLeftCell="A2" activePane="bottomLeft" state="frozen"/>
      <selection pane="bottomLeft"/>
    </sheetView>
  </sheetViews>
  <sheetFormatPr baseColWidth="10" defaultColWidth="8.83203125" defaultRowHeight="14"/>
  <cols>
    <col min="1" max="1" width="16" customWidth="1"/>
    <col min="2" max="2" width="8" customWidth="1"/>
    <col min="3" max="3" width="24" customWidth="1"/>
    <col min="4" max="4" width="48" customWidth="1"/>
    <col min="5" max="8" width="14" customWidth="1"/>
    <col min="9" max="9" width="72" customWidth="1"/>
    <col min="10" max="10" width="18" customWidth="1"/>
  </cols>
  <sheetData>
    <row r="1" spans="1:10" ht="32" customHeight="1">
      <c r="A1" s="2" t="s">
        <v>18</v>
      </c>
      <c r="B1" s="2" t="s">
        <v>19</v>
      </c>
      <c r="C1" s="2" t="s">
        <v>20</v>
      </c>
      <c r="D1" s="2" t="s">
        <v>21</v>
      </c>
      <c r="E1" s="2" t="s">
        <v>22</v>
      </c>
      <c r="F1" s="2" t="s">
        <v>23</v>
      </c>
      <c r="G1" s="2" t="s">
        <v>24</v>
      </c>
      <c r="H1" s="2" t="s">
        <v>25</v>
      </c>
      <c r="I1" s="2" t="s">
        <v>26</v>
      </c>
      <c r="J1" s="2" t="s">
        <v>13</v>
      </c>
    </row>
    <row r="2" spans="1:10" ht="32">
      <c r="A2" s="3" t="s">
        <v>27</v>
      </c>
      <c r="B2" s="3">
        <v>1</v>
      </c>
      <c r="C2" s="3" t="s">
        <v>28</v>
      </c>
      <c r="D2" s="3" t="s">
        <v>29</v>
      </c>
      <c r="E2" s="5">
        <v>23349375</v>
      </c>
      <c r="F2" s="5">
        <v>3792171</v>
      </c>
      <c r="G2" s="5"/>
      <c r="H2" s="3" t="s">
        <v>22</v>
      </c>
      <c r="I2" s="3" t="s">
        <v>30</v>
      </c>
      <c r="J2" s="3" t="s">
        <v>31</v>
      </c>
    </row>
    <row r="3" spans="1:10" ht="32">
      <c r="A3" s="3" t="s">
        <v>27</v>
      </c>
      <c r="B3" s="3">
        <v>2</v>
      </c>
      <c r="C3" s="3" t="s">
        <v>32</v>
      </c>
      <c r="D3" s="3" t="s">
        <v>33</v>
      </c>
      <c r="E3" s="5">
        <v>2783471</v>
      </c>
      <c r="F3" s="5">
        <v>239190</v>
      </c>
      <c r="G3" s="5"/>
      <c r="H3" s="3" t="s">
        <v>22</v>
      </c>
      <c r="I3" s="3" t="s">
        <v>34</v>
      </c>
      <c r="J3" s="3" t="s">
        <v>31</v>
      </c>
    </row>
    <row r="4" spans="1:10" ht="32">
      <c r="A4" s="3" t="s">
        <v>27</v>
      </c>
      <c r="B4" s="3">
        <v>3</v>
      </c>
      <c r="C4" s="3" t="s">
        <v>35</v>
      </c>
      <c r="D4" s="3" t="s">
        <v>36</v>
      </c>
      <c r="E4" s="5">
        <v>2769956</v>
      </c>
      <c r="F4" s="5">
        <v>39629</v>
      </c>
      <c r="G4" s="5"/>
      <c r="H4" s="3" t="s">
        <v>22</v>
      </c>
      <c r="I4" s="3" t="s">
        <v>37</v>
      </c>
      <c r="J4" s="3" t="s">
        <v>31</v>
      </c>
    </row>
    <row r="5" spans="1:10" ht="32">
      <c r="A5" s="3" t="s">
        <v>27</v>
      </c>
      <c r="B5" s="3">
        <v>4</v>
      </c>
      <c r="C5" s="3" t="s">
        <v>38</v>
      </c>
      <c r="D5" s="3" t="s">
        <v>39</v>
      </c>
      <c r="E5" s="5">
        <v>1236288</v>
      </c>
      <c r="F5" s="5">
        <v>52558</v>
      </c>
      <c r="G5" s="5"/>
      <c r="H5" s="3" t="s">
        <v>22</v>
      </c>
      <c r="I5" s="3" t="s">
        <v>40</v>
      </c>
      <c r="J5" s="3" t="s">
        <v>31</v>
      </c>
    </row>
    <row r="6" spans="1:10" ht="32">
      <c r="A6" s="3" t="s">
        <v>27</v>
      </c>
      <c r="B6" s="3">
        <v>5</v>
      </c>
      <c r="C6" s="3" t="s">
        <v>41</v>
      </c>
      <c r="D6" s="3" t="s">
        <v>42</v>
      </c>
      <c r="E6" s="5">
        <v>1014353</v>
      </c>
      <c r="F6" s="5">
        <v>102211</v>
      </c>
      <c r="G6" s="5"/>
      <c r="H6" s="3" t="s">
        <v>22</v>
      </c>
      <c r="I6" s="3" t="s">
        <v>43</v>
      </c>
      <c r="J6" s="3" t="s">
        <v>31</v>
      </c>
    </row>
    <row r="7" spans="1:10" ht="32">
      <c r="A7" s="3" t="s">
        <v>27</v>
      </c>
      <c r="B7" s="3">
        <v>6</v>
      </c>
      <c r="C7" s="3" t="s">
        <v>44</v>
      </c>
      <c r="D7" s="3" t="s">
        <v>45</v>
      </c>
      <c r="E7" s="5">
        <v>693338</v>
      </c>
      <c r="F7" s="5">
        <v>43476</v>
      </c>
      <c r="G7" s="5"/>
      <c r="H7" s="3" t="s">
        <v>22</v>
      </c>
      <c r="I7" s="3" t="s">
        <v>46</v>
      </c>
      <c r="J7" s="3" t="s">
        <v>31</v>
      </c>
    </row>
    <row r="8" spans="1:10" ht="32">
      <c r="A8" s="3" t="s">
        <v>27</v>
      </c>
      <c r="B8" s="3">
        <v>7</v>
      </c>
      <c r="C8" s="3" t="s">
        <v>47</v>
      </c>
      <c r="D8" s="3" t="s">
        <v>48</v>
      </c>
      <c r="E8" s="5">
        <v>530806</v>
      </c>
      <c r="F8" s="5">
        <v>3711</v>
      </c>
      <c r="G8" s="5"/>
      <c r="H8" s="3" t="s">
        <v>22</v>
      </c>
      <c r="I8" s="3" t="s">
        <v>49</v>
      </c>
      <c r="J8" s="3" t="s">
        <v>31</v>
      </c>
    </row>
    <row r="9" spans="1:10" ht="32">
      <c r="A9" s="3" t="s">
        <v>27</v>
      </c>
      <c r="B9" s="3">
        <v>8</v>
      </c>
      <c r="C9" s="3" t="s">
        <v>50</v>
      </c>
      <c r="D9" s="3" t="s">
        <v>51</v>
      </c>
      <c r="E9" s="5">
        <v>333831</v>
      </c>
      <c r="F9" s="5">
        <v>11827</v>
      </c>
      <c r="G9" s="5"/>
      <c r="H9" s="3" t="s">
        <v>22</v>
      </c>
      <c r="I9" s="3" t="s">
        <v>52</v>
      </c>
      <c r="J9" s="3" t="s">
        <v>31</v>
      </c>
    </row>
    <row r="10" spans="1:10" ht="32">
      <c r="A10" s="3" t="s">
        <v>27</v>
      </c>
      <c r="B10" s="3">
        <v>9</v>
      </c>
      <c r="C10" s="3" t="s">
        <v>53</v>
      </c>
      <c r="D10" s="3" t="s">
        <v>54</v>
      </c>
      <c r="E10" s="5">
        <v>325301</v>
      </c>
      <c r="F10" s="5">
        <v>13833</v>
      </c>
      <c r="G10" s="5"/>
      <c r="H10" s="3" t="s">
        <v>22</v>
      </c>
      <c r="I10" s="3" t="s">
        <v>55</v>
      </c>
      <c r="J10" s="3" t="s">
        <v>31</v>
      </c>
    </row>
    <row r="11" spans="1:10" ht="32">
      <c r="A11" s="3" t="s">
        <v>27</v>
      </c>
      <c r="B11" s="3">
        <v>10</v>
      </c>
      <c r="C11" s="3" t="s">
        <v>56</v>
      </c>
      <c r="D11" s="3" t="s">
        <v>57</v>
      </c>
      <c r="E11" s="5">
        <v>157875</v>
      </c>
      <c r="F11" s="5">
        <v>4385</v>
      </c>
      <c r="G11" s="5"/>
      <c r="H11" s="3" t="s">
        <v>22</v>
      </c>
      <c r="I11" s="3" t="s">
        <v>58</v>
      </c>
      <c r="J11" s="3" t="s">
        <v>31</v>
      </c>
    </row>
    <row r="12" spans="1:10" ht="32">
      <c r="A12" s="3" t="s">
        <v>27</v>
      </c>
      <c r="B12" s="3">
        <v>11</v>
      </c>
      <c r="C12" s="3" t="s">
        <v>59</v>
      </c>
      <c r="D12" s="3" t="s">
        <v>60</v>
      </c>
      <c r="E12" s="5">
        <v>38749</v>
      </c>
      <c r="F12" s="5">
        <v>1405</v>
      </c>
      <c r="G12" s="5"/>
      <c r="H12" s="3" t="s">
        <v>22</v>
      </c>
      <c r="I12" s="3" t="s">
        <v>61</v>
      </c>
      <c r="J12" s="3" t="s">
        <v>31</v>
      </c>
    </row>
    <row r="13" spans="1:10" ht="32">
      <c r="A13" s="3" t="s">
        <v>27</v>
      </c>
      <c r="B13" s="3">
        <v>12</v>
      </c>
      <c r="C13" s="3" t="s">
        <v>62</v>
      </c>
      <c r="D13" s="3" t="s">
        <v>63</v>
      </c>
      <c r="E13" s="5">
        <v>29048</v>
      </c>
      <c r="F13" s="5">
        <v>704</v>
      </c>
      <c r="G13" s="5"/>
      <c r="H13" s="3" t="s">
        <v>22</v>
      </c>
      <c r="I13" s="3" t="s">
        <v>64</v>
      </c>
      <c r="J13" s="3" t="s">
        <v>31</v>
      </c>
    </row>
    <row r="14" spans="1:10" ht="16">
      <c r="A14" s="3" t="s">
        <v>65</v>
      </c>
      <c r="B14" s="3">
        <v>1</v>
      </c>
      <c r="C14" s="3" t="s">
        <v>66</v>
      </c>
      <c r="D14" s="3" t="s">
        <v>67</v>
      </c>
      <c r="E14" s="5"/>
      <c r="F14" s="5">
        <v>957083</v>
      </c>
      <c r="G14" s="5">
        <v>9341</v>
      </c>
      <c r="H14" s="3" t="s">
        <v>23</v>
      </c>
      <c r="I14" s="3" t="s">
        <v>68</v>
      </c>
      <c r="J14" s="3" t="s">
        <v>69</v>
      </c>
    </row>
    <row r="15" spans="1:10" ht="32">
      <c r="A15" s="3" t="s">
        <v>65</v>
      </c>
      <c r="B15" s="3">
        <v>2</v>
      </c>
      <c r="C15" s="3" t="s">
        <v>70</v>
      </c>
      <c r="D15" s="3" t="s">
        <v>71</v>
      </c>
      <c r="E15" s="5"/>
      <c r="F15" s="5">
        <v>83739</v>
      </c>
      <c r="G15" s="5">
        <v>3118</v>
      </c>
      <c r="H15" s="3" t="s">
        <v>23</v>
      </c>
      <c r="I15" s="3" t="s">
        <v>72</v>
      </c>
      <c r="J15" s="3" t="s">
        <v>69</v>
      </c>
    </row>
    <row r="16" spans="1:10" ht="32">
      <c r="A16" s="3" t="s">
        <v>65</v>
      </c>
      <c r="B16" s="3">
        <v>3</v>
      </c>
      <c r="C16" s="3" t="s">
        <v>73</v>
      </c>
      <c r="D16" s="3" t="s">
        <v>74</v>
      </c>
      <c r="E16" s="5"/>
      <c r="F16" s="5">
        <v>64051</v>
      </c>
      <c r="G16" s="5">
        <v>831</v>
      </c>
      <c r="H16" s="3" t="s">
        <v>23</v>
      </c>
      <c r="I16" s="3" t="s">
        <v>75</v>
      </c>
      <c r="J16" s="3" t="s">
        <v>69</v>
      </c>
    </row>
    <row r="17" spans="1:10" ht="16">
      <c r="A17" s="3" t="s">
        <v>65</v>
      </c>
      <c r="B17" s="3">
        <v>4</v>
      </c>
      <c r="C17" s="3" t="s">
        <v>76</v>
      </c>
      <c r="D17" s="3" t="s">
        <v>77</v>
      </c>
      <c r="E17" s="5"/>
      <c r="F17" s="5">
        <v>16479</v>
      </c>
      <c r="G17" s="5">
        <v>465</v>
      </c>
      <c r="H17" s="3" t="s">
        <v>23</v>
      </c>
      <c r="I17" s="3" t="s">
        <v>78</v>
      </c>
      <c r="J17" s="3" t="s">
        <v>69</v>
      </c>
    </row>
    <row r="18" spans="1:10" ht="16">
      <c r="A18" s="3" t="s">
        <v>65</v>
      </c>
      <c r="B18" s="3">
        <v>5</v>
      </c>
      <c r="C18" s="3" t="s">
        <v>79</v>
      </c>
      <c r="D18" s="3" t="s">
        <v>80</v>
      </c>
      <c r="E18" s="5"/>
      <c r="F18" s="5">
        <v>4264</v>
      </c>
      <c r="G18" s="5">
        <v>112</v>
      </c>
      <c r="H18" s="3" t="s">
        <v>23</v>
      </c>
      <c r="I18" s="3" t="s">
        <v>81</v>
      </c>
      <c r="J18" s="3" t="s">
        <v>69</v>
      </c>
    </row>
    <row r="19" spans="1:10" ht="16">
      <c r="A19" s="3" t="s">
        <v>65</v>
      </c>
      <c r="B19" s="3">
        <v>6</v>
      </c>
      <c r="C19" s="3" t="s">
        <v>82</v>
      </c>
      <c r="D19" s="3" t="s">
        <v>83</v>
      </c>
      <c r="E19" s="5"/>
      <c r="F19" s="5">
        <v>645</v>
      </c>
      <c r="G19" s="5">
        <v>89</v>
      </c>
      <c r="H19" s="3" t="s">
        <v>23</v>
      </c>
      <c r="I19" s="3" t="s">
        <v>84</v>
      </c>
      <c r="J19" s="3" t="s">
        <v>69</v>
      </c>
    </row>
    <row r="20" spans="1:10" ht="16">
      <c r="A20" s="3" t="s">
        <v>65</v>
      </c>
      <c r="B20" s="3">
        <v>7</v>
      </c>
      <c r="C20" s="3" t="s">
        <v>85</v>
      </c>
      <c r="D20" s="3" t="s">
        <v>86</v>
      </c>
      <c r="E20" s="5"/>
      <c r="F20" s="5">
        <v>638</v>
      </c>
      <c r="G20" s="5">
        <v>17</v>
      </c>
      <c r="H20" s="3" t="s">
        <v>23</v>
      </c>
      <c r="I20" s="3" t="s">
        <v>87</v>
      </c>
      <c r="J20" s="3" t="s">
        <v>69</v>
      </c>
    </row>
    <row r="21" spans="1:10" ht="16">
      <c r="A21" s="3" t="s">
        <v>65</v>
      </c>
      <c r="B21" s="3">
        <v>8</v>
      </c>
      <c r="C21" s="3" t="s">
        <v>88</v>
      </c>
      <c r="D21" s="3" t="s">
        <v>89</v>
      </c>
      <c r="E21" s="5"/>
      <c r="F21" s="5">
        <v>467</v>
      </c>
      <c r="G21" s="5">
        <v>23</v>
      </c>
      <c r="H21" s="3" t="s">
        <v>23</v>
      </c>
      <c r="I21" s="3" t="s">
        <v>90</v>
      </c>
      <c r="J21" s="3" t="s">
        <v>69</v>
      </c>
    </row>
  </sheetData>
  <conditionalFormatting sqref="E2:E21">
    <cfRule type="dataBar" priority="1">
      <dataBar>
        <cfvo type="min"/>
        <cfvo type="max"/>
        <color rgb="FF008AA3"/>
      </dataBar>
    </cfRule>
    <cfRule type="dataBar" priority="2">
      <dataBar>
        <cfvo type="min"/>
        <cfvo type="max"/>
        <color rgb="FF008AA3"/>
      </dataBar>
      <extLst>
        <ext xmlns:x14="http://schemas.microsoft.com/office/spreadsheetml/2009/9/main" uri="{B025F937-C7B1-47D3-B67F-A62EFF666E3E}">
          <x14:id>{42B9AC8D-766B-CE7A-13AC-923B48FBF293}</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2B9AC8D-766B-CE7A-13AC-923B48FBF293}">
            <x14:dataBar>
              <x14:cfvo type="min"/>
              <x14:cfvo type="max"/>
              <x14:negativeFillColor auto="1"/>
              <x14:axisColor auto="1"/>
            </x14:dataBar>
          </x14:cfRule>
          <xm:sqref>E2:E21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1B29A"/>
  </sheetPr>
  <dimension ref="A1:D4"/>
  <sheetViews>
    <sheetView showGridLines="0" workbookViewId="0">
      <pane ySplit="1" topLeftCell="A2" activePane="bottomLeft" state="frozen"/>
      <selection pane="bottomLeft"/>
    </sheetView>
  </sheetViews>
  <sheetFormatPr baseColWidth="10" defaultColWidth="8.83203125" defaultRowHeight="14"/>
  <cols>
    <col min="1" max="1" width="16" customWidth="1"/>
    <col min="2" max="2" width="28" customWidth="1"/>
    <col min="3" max="3" width="62" customWidth="1"/>
    <col min="4" max="4" width="72" customWidth="1"/>
  </cols>
  <sheetData>
    <row r="1" spans="1:4" ht="32" customHeight="1">
      <c r="A1" s="2" t="s">
        <v>18</v>
      </c>
      <c r="B1" s="2" t="s">
        <v>91</v>
      </c>
      <c r="C1" s="2" t="s">
        <v>21</v>
      </c>
      <c r="D1" s="2" t="s">
        <v>13</v>
      </c>
    </row>
    <row r="2" spans="1:4" ht="32">
      <c r="A2" s="3" t="s">
        <v>92</v>
      </c>
      <c r="B2" s="3" t="s">
        <v>93</v>
      </c>
      <c r="C2" s="3" t="s">
        <v>94</v>
      </c>
      <c r="D2" s="3" t="s">
        <v>95</v>
      </c>
    </row>
    <row r="3" spans="1:4" ht="32">
      <c r="A3" s="3" t="s">
        <v>92</v>
      </c>
      <c r="B3" s="3" t="s">
        <v>96</v>
      </c>
      <c r="C3" s="3" t="s">
        <v>97</v>
      </c>
      <c r="D3" s="3" t="s">
        <v>98</v>
      </c>
    </row>
    <row r="4" spans="1:4" ht="32">
      <c r="A4" s="3" t="s">
        <v>99</v>
      </c>
      <c r="B4" s="3" t="s">
        <v>93</v>
      </c>
      <c r="C4" s="3" t="s">
        <v>100</v>
      </c>
      <c r="D4" s="3" t="s">
        <v>101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C89B8"/>
  </sheetPr>
  <dimension ref="A1:C3"/>
  <sheetViews>
    <sheetView showGridLines="0" tabSelected="1" workbookViewId="0">
      <pane ySplit="1" topLeftCell="A2" activePane="bottomLeft" state="frozen"/>
      <selection pane="bottomLeft"/>
    </sheetView>
  </sheetViews>
  <sheetFormatPr baseColWidth="10" defaultColWidth="8.83203125" defaultRowHeight="14"/>
  <cols>
    <col min="1" max="1" width="18" customWidth="1"/>
    <col min="2" max="2" width="100" customWidth="1"/>
    <col min="3" max="3" width="58" customWidth="1"/>
  </cols>
  <sheetData>
    <row r="1" spans="1:3" ht="32" customHeight="1">
      <c r="A1" s="2" t="s">
        <v>102</v>
      </c>
      <c r="B1" s="2" t="s">
        <v>103</v>
      </c>
      <c r="C1" s="2" t="s">
        <v>104</v>
      </c>
    </row>
    <row r="2" spans="1:3" ht="32">
      <c r="A2" s="3" t="s">
        <v>105</v>
      </c>
      <c r="B2" s="3" t="s">
        <v>106</v>
      </c>
      <c r="C2" s="3" t="s">
        <v>107</v>
      </c>
    </row>
    <row r="3" spans="1:3" ht="32">
      <c r="A3" s="3" t="s">
        <v>108</v>
      </c>
      <c r="B3" s="3" t="s">
        <v>109</v>
      </c>
      <c r="C3" s="3" t="s">
        <v>110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Social Outliers</vt:lpstr>
      <vt:lpstr>Search Topics</vt:lpstr>
      <vt:lpstr>Local 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Macbook</cp:lastModifiedBy>
  <dcterms:created xsi:type="dcterms:W3CDTF">2026-09-18T08:17:13Z</dcterms:created>
  <dcterms:modified xsi:type="dcterms:W3CDTF">2026-09-18T08:17:13Z</dcterms:modified>
</cp:coreProperties>
</file>